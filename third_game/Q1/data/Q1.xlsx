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fuckinguser\Desktop\"/>
    </mc:Choice>
  </mc:AlternateContent>
  <xr:revisionPtr revIDLastSave="0" documentId="13_ncr:1_{248BF0C1-4F7D-4334-B763-7C3210FE9DA8}" xr6:coauthVersionLast="47" xr6:coauthVersionMax="47" xr10:uidLastSave="{00000000-0000-0000-0000-000000000000}"/>
  <bookViews>
    <workbookView xWindow="-25310" yWindow="-2430" windowWidth="25420" windowHeight="17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</calcChain>
</file>

<file path=xl/sharedStrings.xml><?xml version="1.0" encoding="utf-8"?>
<sst xmlns="http://schemas.openxmlformats.org/spreadsheetml/2006/main" count="74" uniqueCount="39">
  <si>
    <r>
      <t>Image(a)</t>
    </r>
    <r>
      <rPr>
        <sz val="8"/>
        <color rgb="FF333333"/>
        <rFont val="Arial"/>
        <family val="2"/>
      </rPr>
      <t>(100 × 100)</t>
    </r>
  </si>
  <si>
    <r>
      <t>Image(b)</t>
    </r>
    <r>
      <rPr>
        <sz val="8"/>
        <color rgb="FF333333"/>
        <rFont val="Arial"/>
        <family val="2"/>
      </rPr>
      <t>(132 × 103)</t>
    </r>
  </si>
  <si>
    <r>
      <t>Image(c)</t>
    </r>
    <r>
      <rPr>
        <sz val="8"/>
        <color rgb="FF333333"/>
        <rFont val="Arial"/>
        <family val="2"/>
      </rPr>
      <t>(256 × 233)</t>
    </r>
  </si>
  <si>
    <r>
      <t>Image(d)</t>
    </r>
    <r>
      <rPr>
        <sz val="8"/>
        <color rgb="FF333333"/>
        <rFont val="Arial"/>
        <family val="2"/>
      </rPr>
      <t>(136 × 132)</t>
    </r>
  </si>
  <si>
    <r>
      <t>Image(e)</t>
    </r>
    <r>
      <rPr>
        <sz val="8"/>
        <color rgb="FF333333"/>
        <rFont val="Arial"/>
        <family val="2"/>
      </rPr>
      <t>(103 × 97)</t>
    </r>
  </si>
  <si>
    <r>
      <t>Image(f)</t>
    </r>
    <r>
      <rPr>
        <sz val="8"/>
        <color rgb="FF333333"/>
        <rFont val="Arial"/>
        <family val="2"/>
      </rPr>
      <t>(214 × 209)</t>
    </r>
  </si>
  <si>
    <r>
      <t>Image(g)</t>
    </r>
    <r>
      <rPr>
        <sz val="8"/>
        <color rgb="FF333333"/>
        <rFont val="Arial"/>
        <family val="2"/>
      </rPr>
      <t>(100 × 100)</t>
    </r>
  </si>
  <si>
    <r>
      <t>Image(h)</t>
    </r>
    <r>
      <rPr>
        <sz val="8"/>
        <color rgb="FF333333"/>
        <rFont val="Arial"/>
        <family val="2"/>
      </rPr>
      <t>(127 × 107)</t>
    </r>
  </si>
  <si>
    <t>LIF</t>
  </si>
  <si>
    <t>LPF</t>
  </si>
  <si>
    <t>RSF&amp;LoG</t>
  </si>
  <si>
    <t>OLPFI</t>
  </si>
  <si>
    <t>PBC</t>
  </si>
  <si>
    <t>LGJD</t>
  </si>
  <si>
    <t>ABC</t>
  </si>
  <si>
    <t>PFE</t>
  </si>
  <si>
    <t>APFJD</t>
  </si>
  <si>
    <t>BC</t>
    <phoneticPr fontId="2" type="noConversion"/>
  </si>
  <si>
    <t>RSF</t>
    <phoneticPr fontId="2" type="noConversion"/>
  </si>
  <si>
    <t>LIF</t>
    <phoneticPr fontId="2" type="noConversion"/>
  </si>
  <si>
    <t>LPF</t>
    <phoneticPr fontId="2" type="noConversion"/>
  </si>
  <si>
    <t>RSF&amp;LoG</t>
    <phoneticPr fontId="2" type="noConversion"/>
  </si>
  <si>
    <t>Time</t>
    <phoneticPr fontId="2" type="noConversion"/>
  </si>
  <si>
    <t>iteration</t>
    <phoneticPr fontId="2" type="noConversion"/>
  </si>
  <si>
    <t>iou</t>
    <phoneticPr fontId="2" type="noConversion"/>
  </si>
  <si>
    <t>OLPFI</t>
    <phoneticPr fontId="2" type="noConversion"/>
  </si>
  <si>
    <t>PBC</t>
    <phoneticPr fontId="2" type="noConversion"/>
  </si>
  <si>
    <t>LPF&amp;FCM</t>
  </si>
  <si>
    <t>LPF&amp;FCM</t>
    <phoneticPr fontId="2" type="noConversion"/>
  </si>
  <si>
    <t>LGJD</t>
    <phoneticPr fontId="2" type="noConversion"/>
  </si>
  <si>
    <t>ABC</t>
    <phoneticPr fontId="2" type="noConversion"/>
  </si>
  <si>
    <t>PFE</t>
    <phoneticPr fontId="2" type="noConversion"/>
  </si>
  <si>
    <t>APFJD</t>
    <phoneticPr fontId="2" type="noConversion"/>
  </si>
  <si>
    <t>AVE</t>
    <phoneticPr fontId="2" type="noConversion"/>
  </si>
  <si>
    <t>方差</t>
    <phoneticPr fontId="2" type="noConversion"/>
  </si>
  <si>
    <t>迭代次数均值</t>
    <phoneticPr fontId="2" type="noConversion"/>
  </si>
  <si>
    <t>cpu用时均值</t>
    <phoneticPr fontId="2" type="noConversion"/>
  </si>
  <si>
    <t>iou均值</t>
    <phoneticPr fontId="2" type="noConversion"/>
  </si>
  <si>
    <t>iou方差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</si>
</sst>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86" formatCode="0.00000000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43" fontId="0" fillId="0" borderId="0" xfId="1" applyFont="1" applyAlignment="1">
      <alignment horizontal="center"/>
    </xf>
    <xf numFmtId="186" fontId="0" fillId="0" borderId="0" xfId="0" applyNumberForma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topLeftCell="A13" workbookViewId="0">
      <selection activeCell="B40" sqref="B40:M43"/>
    </sheetView>
  </sheetViews>
  <sheetFormatPr defaultRowHeight="13.8" x14ac:dyDescent="0.25"/>
  <cols>
    <col min="2" max="2" width="13.33203125" bestFit="1" customWidth="1"/>
    <col min="3" max="3" width="17.5546875" bestFit="1" customWidth="1"/>
    <col min="4" max="4" width="17.6640625" bestFit="1" customWidth="1"/>
    <col min="5" max="5" width="17.44140625" bestFit="1" customWidth="1"/>
    <col min="6" max="6" width="17.6640625" bestFit="1" customWidth="1"/>
    <col min="7" max="7" width="16.77734375" bestFit="1" customWidth="1"/>
    <col min="8" max="8" width="17.109375" bestFit="1" customWidth="1"/>
    <col min="9" max="10" width="17.6640625" bestFit="1" customWidth="1"/>
    <col min="11" max="13" width="13.33203125" bestFit="1" customWidth="1"/>
  </cols>
  <sheetData>
    <row r="1" spans="1:12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33</v>
      </c>
      <c r="L1" t="s">
        <v>34</v>
      </c>
    </row>
    <row r="2" spans="1:12" x14ac:dyDescent="0.25">
      <c r="A2" s="1" t="s">
        <v>17</v>
      </c>
      <c r="B2" s="2" t="s">
        <v>22</v>
      </c>
      <c r="C2">
        <v>2.1589999999999998</v>
      </c>
      <c r="D2">
        <v>7.726</v>
      </c>
      <c r="E2">
        <v>10.288</v>
      </c>
      <c r="F2">
        <v>1.0149999999999999</v>
      </c>
      <c r="G2">
        <v>9.9120000000000008</v>
      </c>
      <c r="H2">
        <v>7.4450000000000003</v>
      </c>
      <c r="I2">
        <v>7.8310000000000004</v>
      </c>
      <c r="J2">
        <v>18.085999999999999</v>
      </c>
      <c r="K2">
        <f>AVERAGE(C2:J2)</f>
        <v>8.0577500000000004</v>
      </c>
      <c r="L2">
        <f>_xlfn.VAR.S(C2:J2)</f>
        <v>27.701510214285708</v>
      </c>
    </row>
    <row r="3" spans="1:12" x14ac:dyDescent="0.25">
      <c r="A3" s="1"/>
      <c r="B3" s="2" t="s">
        <v>23</v>
      </c>
      <c r="C3">
        <v>20</v>
      </c>
      <c r="D3">
        <v>180</v>
      </c>
      <c r="E3">
        <v>200</v>
      </c>
      <c r="F3">
        <v>30</v>
      </c>
      <c r="G3">
        <v>200</v>
      </c>
      <c r="H3">
        <v>180</v>
      </c>
      <c r="I3">
        <v>180</v>
      </c>
      <c r="J3">
        <v>300</v>
      </c>
      <c r="K3">
        <f t="shared" ref="K3:K37" si="0">AVERAGE(C3:J3)</f>
        <v>161.25</v>
      </c>
      <c r="L3">
        <f t="shared" ref="L3:N37" si="1">_xlfn.VAR.S(C3:J3)</f>
        <v>8641.0714285714294</v>
      </c>
    </row>
    <row r="4" spans="1:12" x14ac:dyDescent="0.25">
      <c r="A4" s="1"/>
      <c r="B4" s="2" t="s">
        <v>24</v>
      </c>
      <c r="C4">
        <v>0.92800000000000005</v>
      </c>
      <c r="D4">
        <v>0.79900000000000004</v>
      </c>
      <c r="E4">
        <v>0.71099999999999997</v>
      </c>
      <c r="F4">
        <v>0.55200000000000005</v>
      </c>
      <c r="G4">
        <v>0.83599999999999997</v>
      </c>
      <c r="H4">
        <v>0.91400000000000003</v>
      </c>
      <c r="I4">
        <v>0.82</v>
      </c>
      <c r="J4">
        <v>0.58099999999999996</v>
      </c>
      <c r="K4">
        <f t="shared" si="0"/>
        <v>0.767625</v>
      </c>
      <c r="L4">
        <f t="shared" si="1"/>
        <v>2.0011125000000036E-2</v>
      </c>
    </row>
    <row r="5" spans="1:12" x14ac:dyDescent="0.25">
      <c r="A5" s="1" t="s">
        <v>18</v>
      </c>
      <c r="B5" s="2" t="s">
        <v>22</v>
      </c>
      <c r="C5">
        <v>2.875</v>
      </c>
      <c r="D5">
        <v>5.9279999999999999</v>
      </c>
      <c r="E5">
        <v>18.38</v>
      </c>
      <c r="F5">
        <v>12.776</v>
      </c>
      <c r="G5">
        <v>23.527000000000001</v>
      </c>
      <c r="H5">
        <v>15.856</v>
      </c>
      <c r="I5">
        <v>14.628</v>
      </c>
      <c r="J5">
        <v>19.251000000000001</v>
      </c>
      <c r="K5">
        <f t="shared" si="0"/>
        <v>14.152625</v>
      </c>
      <c r="L5">
        <f t="shared" si="1"/>
        <v>47.370697124999978</v>
      </c>
    </row>
    <row r="6" spans="1:12" x14ac:dyDescent="0.25">
      <c r="A6" s="1"/>
      <c r="B6" s="2" t="s">
        <v>23</v>
      </c>
      <c r="C6">
        <v>300</v>
      </c>
      <c r="D6">
        <v>300</v>
      </c>
      <c r="E6">
        <v>300</v>
      </c>
      <c r="F6">
        <v>220</v>
      </c>
      <c r="G6">
        <v>500</v>
      </c>
      <c r="H6">
        <v>300</v>
      </c>
      <c r="I6">
        <v>300</v>
      </c>
      <c r="J6">
        <v>300</v>
      </c>
      <c r="K6">
        <f t="shared" si="0"/>
        <v>315</v>
      </c>
      <c r="L6">
        <f t="shared" si="1"/>
        <v>6371.4285714285716</v>
      </c>
    </row>
    <row r="7" spans="1:12" x14ac:dyDescent="0.25">
      <c r="A7" s="1"/>
      <c r="B7" s="2" t="s">
        <v>24</v>
      </c>
      <c r="C7">
        <v>0.71799999999999997</v>
      </c>
      <c r="D7">
        <v>0.78400000000000003</v>
      </c>
      <c r="E7">
        <v>0.309</v>
      </c>
      <c r="F7">
        <v>0.20699999999999999</v>
      </c>
      <c r="G7">
        <v>0.25600000000000001</v>
      </c>
      <c r="H7">
        <v>0.92900000000000005</v>
      </c>
      <c r="I7">
        <v>0.83199999999999996</v>
      </c>
      <c r="J7">
        <v>0.499</v>
      </c>
      <c r="K7">
        <f t="shared" si="0"/>
        <v>0.56674999999999998</v>
      </c>
      <c r="L7">
        <f t="shared" si="1"/>
        <v>8.1238214285714302E-2</v>
      </c>
    </row>
    <row r="8" spans="1:12" x14ac:dyDescent="0.25">
      <c r="A8" s="1" t="s">
        <v>19</v>
      </c>
      <c r="B8" s="2" t="s">
        <v>22</v>
      </c>
      <c r="C8">
        <v>1.468</v>
      </c>
      <c r="D8">
        <v>2.6579999999999999</v>
      </c>
      <c r="E8">
        <v>13.895</v>
      </c>
      <c r="F8">
        <v>5.3150000000000004</v>
      </c>
      <c r="G8">
        <v>15.563000000000001</v>
      </c>
      <c r="H8">
        <v>10.814</v>
      </c>
      <c r="I8">
        <v>10.412000000000001</v>
      </c>
      <c r="J8">
        <v>1.0469999999999999</v>
      </c>
      <c r="K8">
        <f t="shared" si="0"/>
        <v>7.6464999999999996</v>
      </c>
      <c r="L8">
        <f t="shared" si="1"/>
        <v>33.063436857142868</v>
      </c>
    </row>
    <row r="9" spans="1:12" x14ac:dyDescent="0.25">
      <c r="A9" s="1"/>
      <c r="B9" s="2" t="s">
        <v>23</v>
      </c>
      <c r="C9">
        <v>200</v>
      </c>
      <c r="D9">
        <v>150</v>
      </c>
      <c r="E9">
        <v>200</v>
      </c>
      <c r="F9">
        <v>180</v>
      </c>
      <c r="G9">
        <v>200</v>
      </c>
      <c r="H9">
        <v>200</v>
      </c>
      <c r="I9">
        <v>200</v>
      </c>
      <c r="J9">
        <v>120</v>
      </c>
      <c r="K9">
        <f t="shared" si="0"/>
        <v>181.25</v>
      </c>
      <c r="L9">
        <f t="shared" si="1"/>
        <v>926.78571428571433</v>
      </c>
    </row>
    <row r="10" spans="1:12" x14ac:dyDescent="0.25">
      <c r="A10" s="1"/>
      <c r="B10" s="2" t="s">
        <v>24</v>
      </c>
      <c r="C10">
        <v>0.91700000000000004</v>
      </c>
      <c r="D10">
        <v>0.83499999999999996</v>
      </c>
      <c r="E10">
        <v>0.40799999999999997</v>
      </c>
      <c r="F10">
        <v>0.21099999999999999</v>
      </c>
      <c r="G10">
        <v>0.54700000000000004</v>
      </c>
      <c r="H10">
        <v>0.72899999999999998</v>
      </c>
      <c r="I10">
        <v>0.94099999999999995</v>
      </c>
      <c r="J10">
        <v>0.68799999999999994</v>
      </c>
      <c r="K10">
        <f t="shared" si="0"/>
        <v>0.65949999999999998</v>
      </c>
      <c r="L10">
        <f t="shared" si="1"/>
        <v>6.5578857142857244E-2</v>
      </c>
    </row>
    <row r="11" spans="1:12" x14ac:dyDescent="0.25">
      <c r="A11" s="1" t="s">
        <v>20</v>
      </c>
      <c r="B11" s="2" t="s">
        <v>22</v>
      </c>
      <c r="C11">
        <v>5.2210000000000001</v>
      </c>
      <c r="D11">
        <v>5.117</v>
      </c>
      <c r="E11">
        <v>10.429</v>
      </c>
      <c r="F11">
        <v>4.585</v>
      </c>
      <c r="G11">
        <v>5.6059999999999999</v>
      </c>
      <c r="H11">
        <v>23.248000000000001</v>
      </c>
      <c r="I11">
        <v>3.1480000000000001</v>
      </c>
      <c r="J11">
        <v>1.425</v>
      </c>
      <c r="K11">
        <f t="shared" si="0"/>
        <v>7.3473750000000004</v>
      </c>
      <c r="L11">
        <f t="shared" si="1"/>
        <v>47.884958553571423</v>
      </c>
    </row>
    <row r="12" spans="1:12" x14ac:dyDescent="0.25">
      <c r="A12" s="1"/>
      <c r="B12" s="2" t="s">
        <v>23</v>
      </c>
      <c r="C12">
        <v>300</v>
      </c>
      <c r="D12">
        <v>300</v>
      </c>
      <c r="E12">
        <v>500</v>
      </c>
      <c r="F12">
        <v>220</v>
      </c>
      <c r="G12">
        <v>300</v>
      </c>
      <c r="H12">
        <v>500</v>
      </c>
      <c r="I12">
        <v>150</v>
      </c>
      <c r="J12">
        <v>120</v>
      </c>
      <c r="K12">
        <f t="shared" si="0"/>
        <v>298.75</v>
      </c>
      <c r="L12">
        <f t="shared" si="1"/>
        <v>20183.928571428572</v>
      </c>
    </row>
    <row r="13" spans="1:12" x14ac:dyDescent="0.25">
      <c r="A13" s="1"/>
      <c r="B13" s="2" t="s">
        <v>24</v>
      </c>
      <c r="C13">
        <v>0.66200000000000003</v>
      </c>
      <c r="D13">
        <v>0.78</v>
      </c>
      <c r="E13">
        <v>0.433</v>
      </c>
      <c r="F13">
        <v>0.26700000000000002</v>
      </c>
      <c r="G13">
        <v>0.55300000000000005</v>
      </c>
      <c r="H13">
        <v>0.92700000000000005</v>
      </c>
      <c r="I13">
        <v>0.94499999999999995</v>
      </c>
      <c r="J13">
        <v>0.43099999999999999</v>
      </c>
      <c r="K13">
        <f t="shared" si="0"/>
        <v>0.62475000000000003</v>
      </c>
      <c r="L13">
        <f t="shared" si="1"/>
        <v>6.09779285714286E-2</v>
      </c>
    </row>
    <row r="14" spans="1:12" x14ac:dyDescent="0.25">
      <c r="A14" s="1" t="s">
        <v>21</v>
      </c>
      <c r="B14" s="2" t="s">
        <v>22</v>
      </c>
      <c r="C14">
        <v>5.7510000000000003</v>
      </c>
      <c r="D14">
        <v>6.8529999999999998</v>
      </c>
      <c r="E14">
        <v>10.635</v>
      </c>
      <c r="F14">
        <v>4.8559999999999999</v>
      </c>
      <c r="G14">
        <v>7.9630000000000001</v>
      </c>
      <c r="H14">
        <v>20.835000000000001</v>
      </c>
      <c r="I14">
        <v>4.258</v>
      </c>
      <c r="J14">
        <v>1.125</v>
      </c>
      <c r="K14">
        <f t="shared" si="0"/>
        <v>7.7845000000000004</v>
      </c>
      <c r="L14">
        <f t="shared" si="1"/>
        <v>35.54811885714286</v>
      </c>
    </row>
    <row r="15" spans="1:12" x14ac:dyDescent="0.25">
      <c r="A15" s="1"/>
      <c r="B15" s="2" t="s">
        <v>23</v>
      </c>
      <c r="C15">
        <v>200</v>
      </c>
      <c r="D15">
        <v>200</v>
      </c>
      <c r="E15">
        <v>300</v>
      </c>
      <c r="F15">
        <v>180</v>
      </c>
      <c r="G15">
        <v>200</v>
      </c>
      <c r="H15">
        <v>300</v>
      </c>
      <c r="I15">
        <v>100</v>
      </c>
      <c r="J15">
        <v>100</v>
      </c>
      <c r="K15">
        <f t="shared" si="0"/>
        <v>197.5</v>
      </c>
      <c r="L15">
        <f t="shared" si="1"/>
        <v>5764.2857142857147</v>
      </c>
    </row>
    <row r="16" spans="1:12" x14ac:dyDescent="0.25">
      <c r="A16" s="1"/>
      <c r="B16" s="2" t="s">
        <v>24</v>
      </c>
      <c r="C16">
        <v>0.67400000000000004</v>
      </c>
      <c r="D16">
        <v>0.68300000000000005</v>
      </c>
      <c r="E16">
        <v>0.70099999999999996</v>
      </c>
      <c r="F16">
        <v>0.55400000000000005</v>
      </c>
      <c r="G16">
        <v>0.94399999999999995</v>
      </c>
      <c r="H16">
        <v>0.879</v>
      </c>
      <c r="I16">
        <v>0.94899999999999995</v>
      </c>
      <c r="J16">
        <v>0.503</v>
      </c>
      <c r="K16">
        <f t="shared" si="0"/>
        <v>0.73587500000000006</v>
      </c>
      <c r="L16">
        <f t="shared" si="1"/>
        <v>2.9196124999999844E-2</v>
      </c>
    </row>
    <row r="17" spans="1:12" x14ac:dyDescent="0.25">
      <c r="A17" s="1" t="s">
        <v>25</v>
      </c>
      <c r="B17" s="2" t="s">
        <v>22</v>
      </c>
      <c r="C17">
        <v>0.96099999999999997</v>
      </c>
      <c r="D17">
        <v>4.7539999999999996</v>
      </c>
      <c r="E17">
        <v>8.7579999999999991</v>
      </c>
      <c r="F17">
        <v>1.0209999999999999</v>
      </c>
      <c r="G17">
        <v>5.7610000000000001</v>
      </c>
      <c r="H17">
        <v>8.6349999999999998</v>
      </c>
      <c r="I17">
        <v>7.468</v>
      </c>
      <c r="J17">
        <v>1.2490000000000001</v>
      </c>
      <c r="K17">
        <f t="shared" si="0"/>
        <v>4.8258750000000008</v>
      </c>
      <c r="L17">
        <f t="shared" si="1"/>
        <v>11.434265267857127</v>
      </c>
    </row>
    <row r="18" spans="1:12" x14ac:dyDescent="0.25">
      <c r="A18" s="1"/>
      <c r="B18" s="2" t="s">
        <v>23</v>
      </c>
      <c r="C18">
        <v>60</v>
      </c>
      <c r="D18">
        <v>200</v>
      </c>
      <c r="E18">
        <v>200</v>
      </c>
      <c r="F18">
        <v>60</v>
      </c>
      <c r="G18">
        <v>200</v>
      </c>
      <c r="H18">
        <v>200</v>
      </c>
      <c r="I18">
        <v>180</v>
      </c>
      <c r="J18">
        <v>65</v>
      </c>
      <c r="K18">
        <f t="shared" si="0"/>
        <v>145.625</v>
      </c>
      <c r="L18">
        <f t="shared" si="1"/>
        <v>4881.6964285714284</v>
      </c>
    </row>
    <row r="19" spans="1:12" x14ac:dyDescent="0.25">
      <c r="A19" s="1"/>
      <c r="B19" s="2" t="s">
        <v>24</v>
      </c>
      <c r="C19">
        <v>0.94499999999999995</v>
      </c>
      <c r="D19">
        <v>0.72699999999999998</v>
      </c>
      <c r="E19">
        <v>0.39400000000000002</v>
      </c>
      <c r="F19">
        <v>0.88</v>
      </c>
      <c r="G19">
        <v>0.94499999999999995</v>
      </c>
      <c r="H19">
        <v>0.75800000000000001</v>
      </c>
      <c r="I19">
        <v>0.71399999999999997</v>
      </c>
      <c r="J19">
        <v>0.60399999999999998</v>
      </c>
      <c r="K19">
        <f t="shared" si="0"/>
        <v>0.74587499999999995</v>
      </c>
      <c r="L19">
        <f t="shared" si="1"/>
        <v>3.4679267857143002E-2</v>
      </c>
    </row>
    <row r="20" spans="1:12" x14ac:dyDescent="0.25">
      <c r="A20" s="1" t="s">
        <v>26</v>
      </c>
      <c r="B20" s="2" t="s">
        <v>22</v>
      </c>
      <c r="C20">
        <v>6.1420000000000003</v>
      </c>
      <c r="D20">
        <v>5.8559999999999999</v>
      </c>
      <c r="E20">
        <v>8.9670000000000005</v>
      </c>
      <c r="F20">
        <v>1.165</v>
      </c>
      <c r="G20">
        <v>4.8209999999999997</v>
      </c>
      <c r="H20">
        <v>8.6170000000000009</v>
      </c>
      <c r="I20">
        <v>5.8040000000000003</v>
      </c>
      <c r="J20">
        <v>0.34599999999999997</v>
      </c>
      <c r="K20">
        <f t="shared" si="0"/>
        <v>5.2147499999999996</v>
      </c>
      <c r="L20">
        <f t="shared" si="1"/>
        <v>9.6475907857142964</v>
      </c>
    </row>
    <row r="21" spans="1:12" x14ac:dyDescent="0.25">
      <c r="A21" s="1"/>
      <c r="B21" s="2" t="s">
        <v>23</v>
      </c>
      <c r="C21">
        <v>300</v>
      </c>
      <c r="D21">
        <v>300</v>
      </c>
      <c r="E21">
        <v>300</v>
      </c>
      <c r="F21">
        <v>90</v>
      </c>
      <c r="G21">
        <v>200</v>
      </c>
      <c r="H21">
        <v>300</v>
      </c>
      <c r="I21">
        <v>200</v>
      </c>
      <c r="J21">
        <v>65</v>
      </c>
      <c r="K21">
        <f t="shared" si="0"/>
        <v>219.375</v>
      </c>
      <c r="L21">
        <f t="shared" si="1"/>
        <v>9617.4107142857138</v>
      </c>
    </row>
    <row r="22" spans="1:12" x14ac:dyDescent="0.25">
      <c r="A22" s="1"/>
      <c r="B22" s="2" t="s">
        <v>24</v>
      </c>
      <c r="C22">
        <v>0.88200000000000001</v>
      </c>
      <c r="D22">
        <v>0.58699999999999997</v>
      </c>
      <c r="E22">
        <v>0.59299999999999997</v>
      </c>
      <c r="F22">
        <v>0.79600000000000004</v>
      </c>
      <c r="G22">
        <v>0.95099999999999996</v>
      </c>
      <c r="H22">
        <v>0.93500000000000005</v>
      </c>
      <c r="I22">
        <v>0.91800000000000004</v>
      </c>
      <c r="J22">
        <v>0.57099999999999995</v>
      </c>
      <c r="K22">
        <f t="shared" si="0"/>
        <v>0.77912499999999996</v>
      </c>
      <c r="L22">
        <f t="shared" si="1"/>
        <v>2.8408982142857222E-2</v>
      </c>
    </row>
    <row r="23" spans="1:12" x14ac:dyDescent="0.25">
      <c r="A23" s="1" t="s">
        <v>28</v>
      </c>
      <c r="B23" s="2" t="s">
        <v>22</v>
      </c>
      <c r="C23">
        <v>3.4940000000000002</v>
      </c>
      <c r="D23">
        <v>5.1079999999999997</v>
      </c>
      <c r="E23">
        <v>7.7519999999999998</v>
      </c>
      <c r="F23">
        <v>0.54300000000000004</v>
      </c>
      <c r="G23">
        <v>3.2639999999999998</v>
      </c>
      <c r="H23">
        <v>9.8219999999999992</v>
      </c>
      <c r="I23">
        <v>3.3650000000000002</v>
      </c>
      <c r="J23">
        <v>0.44900000000000001</v>
      </c>
      <c r="K23">
        <f t="shared" si="0"/>
        <v>4.2246249999999996</v>
      </c>
      <c r="L23">
        <f t="shared" si="1"/>
        <v>10.651229696428572</v>
      </c>
    </row>
    <row r="24" spans="1:12" x14ac:dyDescent="0.25">
      <c r="A24" s="1"/>
      <c r="B24" s="2" t="s">
        <v>23</v>
      </c>
      <c r="C24">
        <v>300</v>
      </c>
      <c r="D24">
        <v>300</v>
      </c>
      <c r="E24">
        <v>300</v>
      </c>
      <c r="F24">
        <v>85</v>
      </c>
      <c r="G24">
        <v>280</v>
      </c>
      <c r="H24">
        <v>300</v>
      </c>
      <c r="I24">
        <v>200</v>
      </c>
      <c r="J24">
        <v>60</v>
      </c>
      <c r="K24">
        <f t="shared" si="0"/>
        <v>228.125</v>
      </c>
      <c r="L24">
        <f t="shared" si="1"/>
        <v>10413.839285714286</v>
      </c>
    </row>
    <row r="25" spans="1:12" x14ac:dyDescent="0.25">
      <c r="A25" s="1"/>
      <c r="B25" s="2" t="s">
        <v>24</v>
      </c>
      <c r="C25">
        <v>0.876</v>
      </c>
      <c r="D25">
        <v>0.66100000000000003</v>
      </c>
      <c r="E25">
        <v>0.71699999999999997</v>
      </c>
      <c r="F25">
        <v>0.875</v>
      </c>
      <c r="G25">
        <v>0.94899999999999995</v>
      </c>
      <c r="H25">
        <v>0.95799999999999996</v>
      </c>
      <c r="I25">
        <v>0.95399999999999996</v>
      </c>
      <c r="J25">
        <v>0.73099999999999998</v>
      </c>
      <c r="K25">
        <f t="shared" si="0"/>
        <v>0.84012500000000001</v>
      </c>
      <c r="L25">
        <f t="shared" si="1"/>
        <v>1.4338982142856973E-2</v>
      </c>
    </row>
    <row r="26" spans="1:12" x14ac:dyDescent="0.25">
      <c r="A26" s="1" t="s">
        <v>29</v>
      </c>
      <c r="B26" s="2" t="s">
        <v>22</v>
      </c>
      <c r="C26">
        <v>3.952</v>
      </c>
      <c r="D26">
        <v>4.585</v>
      </c>
      <c r="E26">
        <v>5.8559999999999999</v>
      </c>
      <c r="F26">
        <v>3.6579999999999999</v>
      </c>
      <c r="G26">
        <v>8.6349999999999998</v>
      </c>
      <c r="H26">
        <v>7.423</v>
      </c>
      <c r="I26">
        <v>10.528</v>
      </c>
      <c r="J26">
        <v>1.4370000000000001</v>
      </c>
      <c r="K26">
        <f t="shared" si="0"/>
        <v>5.7592499999999998</v>
      </c>
      <c r="L26">
        <f t="shared" si="1"/>
        <v>8.7900645000000122</v>
      </c>
    </row>
    <row r="27" spans="1:12" x14ac:dyDescent="0.25">
      <c r="A27" s="1"/>
      <c r="B27" s="2" t="s">
        <v>23</v>
      </c>
      <c r="C27">
        <v>200</v>
      </c>
      <c r="D27">
        <v>200</v>
      </c>
      <c r="E27">
        <v>250</v>
      </c>
      <c r="F27">
        <v>200</v>
      </c>
      <c r="G27">
        <v>300</v>
      </c>
      <c r="H27">
        <v>300</v>
      </c>
      <c r="I27">
        <v>300</v>
      </c>
      <c r="J27">
        <v>120</v>
      </c>
      <c r="K27">
        <f t="shared" si="0"/>
        <v>233.75</v>
      </c>
      <c r="L27">
        <f t="shared" si="1"/>
        <v>4255.3571428571431</v>
      </c>
    </row>
    <row r="28" spans="1:12" x14ac:dyDescent="0.25">
      <c r="A28" s="1"/>
      <c r="B28" s="2" t="s">
        <v>24</v>
      </c>
      <c r="C28">
        <v>0.72499999999999998</v>
      </c>
      <c r="D28">
        <v>0.51500000000000001</v>
      </c>
      <c r="E28">
        <v>0.874</v>
      </c>
      <c r="F28">
        <v>0.23</v>
      </c>
      <c r="G28">
        <v>0.61099999999999999</v>
      </c>
      <c r="H28">
        <v>0.89400000000000002</v>
      </c>
      <c r="I28">
        <v>0.93899999999999995</v>
      </c>
      <c r="J28">
        <v>0.47399999999999998</v>
      </c>
      <c r="K28">
        <f t="shared" si="0"/>
        <v>0.65775000000000006</v>
      </c>
      <c r="L28">
        <f t="shared" si="1"/>
        <v>6.0785642857142781E-2</v>
      </c>
    </row>
    <row r="29" spans="1:12" x14ac:dyDescent="0.25">
      <c r="A29" s="1" t="s">
        <v>30</v>
      </c>
      <c r="B29" s="2" t="s">
        <v>22</v>
      </c>
      <c r="C29">
        <v>0.64100000000000001</v>
      </c>
      <c r="D29">
        <v>6.5890000000000004</v>
      </c>
      <c r="E29">
        <v>15.254</v>
      </c>
      <c r="F29">
        <v>0.19600000000000001</v>
      </c>
      <c r="G29">
        <v>8.1110000000000007</v>
      </c>
      <c r="H29">
        <v>3.8559999999999999</v>
      </c>
      <c r="I29">
        <v>5.9640000000000004</v>
      </c>
      <c r="J29">
        <v>7.2149999999999999</v>
      </c>
      <c r="K29">
        <f t="shared" si="0"/>
        <v>5.978250000000001</v>
      </c>
      <c r="L29">
        <f t="shared" si="1"/>
        <v>22.702218214285697</v>
      </c>
    </row>
    <row r="30" spans="1:12" x14ac:dyDescent="0.25">
      <c r="A30" s="1"/>
      <c r="B30" s="2" t="s">
        <v>23</v>
      </c>
      <c r="C30">
        <v>20</v>
      </c>
      <c r="D30">
        <v>300</v>
      </c>
      <c r="E30">
        <v>300</v>
      </c>
      <c r="F30">
        <v>20</v>
      </c>
      <c r="G30">
        <v>300</v>
      </c>
      <c r="H30">
        <v>150</v>
      </c>
      <c r="I30">
        <v>250</v>
      </c>
      <c r="J30">
        <v>280</v>
      </c>
      <c r="K30">
        <f t="shared" si="0"/>
        <v>202.5</v>
      </c>
      <c r="L30">
        <f t="shared" si="1"/>
        <v>15164.285714285714</v>
      </c>
    </row>
    <row r="31" spans="1:12" x14ac:dyDescent="0.25">
      <c r="A31" s="1"/>
      <c r="B31" s="2" t="s">
        <v>24</v>
      </c>
      <c r="C31">
        <v>0.95799999999999996</v>
      </c>
      <c r="D31">
        <v>0.41499999999999998</v>
      </c>
      <c r="E31">
        <v>0.57599999999999996</v>
      </c>
      <c r="F31">
        <v>0.85499999999999998</v>
      </c>
      <c r="G31">
        <v>0.93100000000000005</v>
      </c>
      <c r="H31">
        <v>0.94099999999999995</v>
      </c>
      <c r="I31">
        <v>0.93400000000000005</v>
      </c>
      <c r="J31">
        <v>0.57499999999999996</v>
      </c>
      <c r="K31">
        <f t="shared" si="0"/>
        <v>0.77312500000000006</v>
      </c>
      <c r="L31">
        <f t="shared" si="1"/>
        <v>4.6604982142857007E-2</v>
      </c>
    </row>
    <row r="32" spans="1:12" x14ac:dyDescent="0.25">
      <c r="A32" s="1" t="s">
        <v>31</v>
      </c>
      <c r="B32" s="2" t="s">
        <v>22</v>
      </c>
      <c r="C32">
        <v>2.964</v>
      </c>
      <c r="D32">
        <v>3.589</v>
      </c>
      <c r="E32">
        <v>5.5449999999999999</v>
      </c>
      <c r="F32">
        <v>0.248</v>
      </c>
      <c r="G32">
        <v>3.1320000000000001</v>
      </c>
      <c r="H32">
        <v>12.826000000000001</v>
      </c>
      <c r="I32">
        <v>3.7919999999999998</v>
      </c>
      <c r="J32">
        <v>0.23699999999999999</v>
      </c>
      <c r="K32">
        <f t="shared" si="0"/>
        <v>4.0416249999999998</v>
      </c>
      <c r="L32">
        <f t="shared" si="1"/>
        <v>15.79257398214286</v>
      </c>
    </row>
    <row r="33" spans="1:13" x14ac:dyDescent="0.25">
      <c r="A33" s="1"/>
      <c r="B33" s="2" t="s">
        <v>23</v>
      </c>
      <c r="C33">
        <v>150</v>
      </c>
      <c r="D33">
        <v>180</v>
      </c>
      <c r="E33">
        <v>200</v>
      </c>
      <c r="F33">
        <v>90</v>
      </c>
      <c r="G33">
        <v>180</v>
      </c>
      <c r="H33">
        <v>600</v>
      </c>
      <c r="I33">
        <v>180</v>
      </c>
      <c r="J33">
        <v>90</v>
      </c>
      <c r="K33">
        <f t="shared" si="0"/>
        <v>208.75</v>
      </c>
      <c r="L33">
        <f t="shared" si="1"/>
        <v>26755.357142857141</v>
      </c>
    </row>
    <row r="34" spans="1:13" x14ac:dyDescent="0.25">
      <c r="A34" s="1"/>
      <c r="B34" s="2" t="s">
        <v>24</v>
      </c>
      <c r="C34">
        <v>0.80300000000000005</v>
      </c>
      <c r="D34">
        <v>0.83399999999999996</v>
      </c>
      <c r="E34">
        <v>0.879</v>
      </c>
      <c r="F34">
        <v>0.89100000000000001</v>
      </c>
      <c r="G34">
        <v>0.95399999999999996</v>
      </c>
      <c r="H34">
        <v>0.90200000000000002</v>
      </c>
      <c r="I34">
        <v>0.92600000000000005</v>
      </c>
      <c r="J34">
        <v>0.81200000000000006</v>
      </c>
      <c r="K34">
        <f t="shared" si="0"/>
        <v>0.87512500000000004</v>
      </c>
      <c r="L34">
        <f t="shared" si="1"/>
        <v>2.953839285714284E-3</v>
      </c>
    </row>
    <row r="35" spans="1:13" x14ac:dyDescent="0.25">
      <c r="A35" s="3" t="s">
        <v>32</v>
      </c>
      <c r="B35" s="2" t="s">
        <v>22</v>
      </c>
      <c r="C35">
        <v>0.85499999999999998</v>
      </c>
      <c r="D35">
        <v>1.8560000000000001</v>
      </c>
      <c r="E35">
        <v>6.9820000000000002</v>
      </c>
      <c r="F35">
        <v>0.28499999999999998</v>
      </c>
      <c r="G35">
        <v>3.915</v>
      </c>
      <c r="H35">
        <v>4.57</v>
      </c>
      <c r="I35">
        <v>3.2530000000000001</v>
      </c>
      <c r="J35">
        <v>0.95799999999999996</v>
      </c>
      <c r="K35">
        <f t="shared" si="0"/>
        <v>2.8342499999999999</v>
      </c>
      <c r="L35">
        <f t="shared" si="1"/>
        <v>5.2076319285714305</v>
      </c>
    </row>
    <row r="36" spans="1:13" x14ac:dyDescent="0.25">
      <c r="A36" s="3"/>
      <c r="B36" s="2" t="s">
        <v>23</v>
      </c>
      <c r="C36">
        <v>65</v>
      </c>
      <c r="D36">
        <v>100</v>
      </c>
      <c r="E36">
        <v>250</v>
      </c>
      <c r="F36">
        <v>65</v>
      </c>
      <c r="G36">
        <v>200</v>
      </c>
      <c r="H36">
        <v>200</v>
      </c>
      <c r="I36">
        <v>180</v>
      </c>
      <c r="J36">
        <v>100</v>
      </c>
      <c r="K36">
        <f t="shared" si="0"/>
        <v>145</v>
      </c>
      <c r="L36">
        <f t="shared" si="1"/>
        <v>5021.4285714285716</v>
      </c>
    </row>
    <row r="37" spans="1:13" x14ac:dyDescent="0.25">
      <c r="A37" s="3"/>
      <c r="B37" s="2" t="s">
        <v>24</v>
      </c>
      <c r="C37">
        <v>0.91700000000000004</v>
      </c>
      <c r="D37">
        <v>0.79500000000000004</v>
      </c>
      <c r="E37">
        <v>0.82</v>
      </c>
      <c r="F37">
        <v>0.83799999999999997</v>
      </c>
      <c r="G37">
        <v>0.93600000000000005</v>
      </c>
      <c r="H37">
        <v>0.878</v>
      </c>
      <c r="I37">
        <v>0.92400000000000004</v>
      </c>
      <c r="J37">
        <v>0.61</v>
      </c>
      <c r="K37">
        <f t="shared" si="0"/>
        <v>0.83975000000000011</v>
      </c>
      <c r="L37">
        <f t="shared" si="1"/>
        <v>1.1281928571428195E-2</v>
      </c>
    </row>
    <row r="39" spans="1:13" x14ac:dyDescent="0.25">
      <c r="B39" t="s">
        <v>17</v>
      </c>
      <c r="C39" t="s">
        <v>18</v>
      </c>
      <c r="D39" t="s">
        <v>8</v>
      </c>
      <c r="E39" t="s">
        <v>9</v>
      </c>
      <c r="F39" t="s">
        <v>10</v>
      </c>
      <c r="G39" t="s">
        <v>11</v>
      </c>
      <c r="H39" t="s">
        <v>12</v>
      </c>
      <c r="I39" t="s">
        <v>27</v>
      </c>
      <c r="J39" t="s">
        <v>13</v>
      </c>
      <c r="K39" t="s">
        <v>14</v>
      </c>
      <c r="L39" t="s">
        <v>15</v>
      </c>
      <c r="M39" t="s">
        <v>16</v>
      </c>
    </row>
    <row r="40" spans="1:13" x14ac:dyDescent="0.25">
      <c r="A40" t="s">
        <v>36</v>
      </c>
      <c r="B40" s="4">
        <v>8.0577500000000004</v>
      </c>
      <c r="C40" s="4">
        <v>14.152625</v>
      </c>
      <c r="D40" s="4">
        <v>7.6464999999999996</v>
      </c>
      <c r="E40" s="4">
        <v>7.3473750000000004</v>
      </c>
      <c r="F40" s="4">
        <v>7.7845000000000004</v>
      </c>
      <c r="G40" s="4">
        <v>4.8258750000000008</v>
      </c>
      <c r="H40" s="4">
        <v>5.2147499999999996</v>
      </c>
      <c r="I40" s="4">
        <v>4.2246249999999996</v>
      </c>
      <c r="J40" s="4">
        <v>5.7592499999999998</v>
      </c>
      <c r="K40" s="4">
        <v>5.978250000000001</v>
      </c>
      <c r="L40" s="4">
        <v>4.0416249999999998</v>
      </c>
      <c r="M40" s="4">
        <v>2.8342499999999999</v>
      </c>
    </row>
    <row r="41" spans="1:13" x14ac:dyDescent="0.25">
      <c r="A41" t="s">
        <v>35</v>
      </c>
      <c r="B41" s="4">
        <v>161.25</v>
      </c>
      <c r="C41" s="4">
        <v>315</v>
      </c>
      <c r="D41" s="4">
        <v>181.25</v>
      </c>
      <c r="E41" s="4">
        <v>298.75</v>
      </c>
      <c r="F41" s="4">
        <v>197.5</v>
      </c>
      <c r="G41" s="4">
        <v>145.625</v>
      </c>
      <c r="H41" s="4">
        <v>219.375</v>
      </c>
      <c r="I41" s="4">
        <v>228.125</v>
      </c>
      <c r="J41" s="4">
        <v>233.75</v>
      </c>
      <c r="K41" s="4">
        <v>202.5</v>
      </c>
      <c r="L41" s="4">
        <v>208.75</v>
      </c>
      <c r="M41" s="4">
        <v>145</v>
      </c>
    </row>
    <row r="42" spans="1:13" x14ac:dyDescent="0.25">
      <c r="A42" t="s">
        <v>37</v>
      </c>
      <c r="B42" s="4">
        <v>0.767625</v>
      </c>
      <c r="C42" s="4">
        <v>0.56674999999999998</v>
      </c>
      <c r="D42" s="4">
        <v>0.65949999999999998</v>
      </c>
      <c r="E42" s="4">
        <v>0.62475000000000003</v>
      </c>
      <c r="F42" s="4">
        <v>0.73587500000000006</v>
      </c>
      <c r="G42" s="4">
        <v>0.74587499999999995</v>
      </c>
      <c r="H42" s="4">
        <v>0.77912499999999996</v>
      </c>
      <c r="I42" s="4">
        <v>0.84012500000000001</v>
      </c>
      <c r="J42" s="4">
        <v>0.65775000000000006</v>
      </c>
      <c r="K42" s="4">
        <v>0.77312500000000006</v>
      </c>
      <c r="L42" s="4">
        <v>0.87512500000000004</v>
      </c>
      <c r="M42" s="4">
        <v>0.83975000000000011</v>
      </c>
    </row>
    <row r="43" spans="1:13" x14ac:dyDescent="0.25">
      <c r="A43" t="s">
        <v>38</v>
      </c>
      <c r="B43" s="4">
        <v>2.0011125000000036E-2</v>
      </c>
      <c r="C43" s="4">
        <v>8.1238214285714302E-2</v>
      </c>
      <c r="D43" s="4">
        <v>6.5578857142857244E-2</v>
      </c>
      <c r="E43" s="4">
        <v>6.09779285714286E-2</v>
      </c>
      <c r="F43" s="4">
        <v>2.9196124999999844E-2</v>
      </c>
      <c r="G43" s="4">
        <v>3.4679267857143002E-2</v>
      </c>
      <c r="H43" s="4">
        <v>2.8408982142857222E-2</v>
      </c>
      <c r="I43" s="4">
        <v>1.4338982142856973E-2</v>
      </c>
      <c r="J43" s="4">
        <v>6.0785642857142781E-2</v>
      </c>
      <c r="K43" s="4">
        <v>4.6604982142857007E-2</v>
      </c>
      <c r="L43" s="4">
        <v>2.953839285714284E-3</v>
      </c>
      <c r="M43" s="4">
        <v>1.1281928571428195E-2</v>
      </c>
    </row>
  </sheetData>
  <mergeCells count="12">
    <mergeCell ref="A20:A22"/>
    <mergeCell ref="A23:A25"/>
    <mergeCell ref="A26:A28"/>
    <mergeCell ref="A29:A31"/>
    <mergeCell ref="A32:A34"/>
    <mergeCell ref="A35:A37"/>
    <mergeCell ref="A2:A4"/>
    <mergeCell ref="A5:A7"/>
    <mergeCell ref="A8:A10"/>
    <mergeCell ref="A11:A13"/>
    <mergeCell ref="A14:A16"/>
    <mergeCell ref="A17:A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fuckinguser</dc:creator>
  <cp:lastModifiedBy>Hengwei Zhang</cp:lastModifiedBy>
  <dcterms:created xsi:type="dcterms:W3CDTF">2015-06-05T18:19:34Z</dcterms:created>
  <dcterms:modified xsi:type="dcterms:W3CDTF">2025-07-01T11:43:24Z</dcterms:modified>
</cp:coreProperties>
</file>